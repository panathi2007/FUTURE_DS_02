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nathi\Desktop\"/>
    </mc:Choice>
  </mc:AlternateContent>
  <xr:revisionPtr revIDLastSave="0" documentId="8_{8046B14F-AFEE-4ED9-882A-0433320AD90E}" xr6:coauthVersionLast="47" xr6:coauthVersionMax="47" xr10:uidLastSave="{00000000-0000-0000-0000-000000000000}"/>
  <bookViews>
    <workbookView xWindow="11424" yWindow="0" windowWidth="11712" windowHeight="12336" firstSheet="1" activeTab="3" xr2:uid="{B1BB3A07-FB00-4464-943C-B762695862CB}"/>
  </bookViews>
  <sheets>
    <sheet name="Sheet3" sheetId="3" r:id="rId1"/>
    <sheet name="Sheet4" sheetId="4" r:id="rId2"/>
    <sheet name="Sheet1" sheetId="1" r:id="rId3"/>
    <sheet name="Dashboard" sheetId="2" r:id="rId4"/>
  </sheets>
  <calcPr calcId="191029"/>
  <pivotCaches>
    <pivotCache cacheId="10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E6" i="1"/>
  <c r="F6" i="1" s="1"/>
  <c r="E5" i="1"/>
  <c r="F5" i="1" s="1"/>
  <c r="E4" i="1"/>
  <c r="F4" i="1" s="1"/>
  <c r="E3" i="1"/>
  <c r="F3" i="1" s="1"/>
  <c r="F2" i="1"/>
  <c r="E2" i="1"/>
</calcChain>
</file>

<file path=xl/sharedStrings.xml><?xml version="1.0" encoding="utf-8"?>
<sst xmlns="http://schemas.openxmlformats.org/spreadsheetml/2006/main" count="22" uniqueCount="16">
  <si>
    <t>Month</t>
  </si>
  <si>
    <t>Starting Customers</t>
  </si>
  <si>
    <t>New Customers Acquired</t>
  </si>
  <si>
    <t>Ending Customers</t>
  </si>
  <si>
    <t>Retention Rate (%)</t>
  </si>
  <si>
    <t>Churn Rate (%)</t>
  </si>
  <si>
    <t>January</t>
  </si>
  <si>
    <t>February</t>
  </si>
  <si>
    <t>March</t>
  </si>
  <si>
    <t>April</t>
  </si>
  <si>
    <t>May</t>
  </si>
  <si>
    <t>June</t>
  </si>
  <si>
    <r>
      <t>Customer Retention &amp; Churn Analytics</t>
    </r>
    <r>
      <rPr>
        <sz val="11"/>
        <color theme="1"/>
        <rFont val="Calibri"/>
        <family val="2"/>
        <scheme val="minor"/>
      </rPr>
      <t>.</t>
    </r>
  </si>
  <si>
    <t>Row Labels</t>
  </si>
  <si>
    <t>Grand Total</t>
  </si>
  <si>
    <t>Sum of Retention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</si>
</sst>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[task_2_retention_analysis.xlsx]Sheet4!PivotTable6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Sheet4!$B$4:$B$10</c:f>
              <c:numCache>
                <c:formatCode>0%</c:formatCode>
                <c:ptCount val="6"/>
                <c:pt idx="0">
                  <c:v>0.9</c:v>
                </c:pt>
                <c:pt idx="1">
                  <c:v>0.90476190476190477</c:v>
                </c:pt>
                <c:pt idx="2">
                  <c:v>0.90990990990990994</c:v>
                </c:pt>
                <c:pt idx="3">
                  <c:v>0.89473684210526316</c:v>
                </c:pt>
                <c:pt idx="4">
                  <c:v>0.89166666666666672</c:v>
                </c:pt>
                <c:pt idx="5">
                  <c:v>0.88188976377952755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9-4D5A-8E2A-3A71CBC8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3519"/>
        <c:axId val="123629279"/>
      </c:lineChart>
      <c:catAx>
        <c:axId val="12362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9279"/>
        <c:crosses val="autoZero"/>
        <c:auto val="1"/>
        <c:lblAlgn val="ctr"/>
        <c:lblOffset val="100"/>
        <c:noMultiLvlLbl val="0"/>
      </c:catAx>
      <c:valAx>
        <c:axId val="12362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Sheet1!$F$2:$F$7</c:f>
              <c:numCache>
                <c:formatCode>0%</c:formatCode>
                <c:ptCount val="6"/>
                <c:pt idx="0">
                  <c:v>9.9999999999999978E-2</c:v>
                </c:pt>
                <c:pt idx="1">
                  <c:v>9.5238095238095233E-2</c:v>
                </c:pt>
                <c:pt idx="2">
                  <c:v>9.0090090090090058E-2</c:v>
                </c:pt>
                <c:pt idx="3">
                  <c:v>0.10526315789473684</c:v>
                </c:pt>
                <c:pt idx="4">
                  <c:v>0.10833333333333328</c:v>
                </c:pt>
                <c:pt idx="5">
                  <c:v>0.11811023622047245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8-4D36-BDED-08BA682CA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466671"/>
        <c:axId val="323479631"/>
      </c:barChart>
      <c:catAx>
        <c:axId val="323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79631"/>
        <c:crosses val="autoZero"/>
        <c:auto val="1"/>
        <c:lblAlgn val="ctr"/>
        <c:lblOffset val="100"/>
        <c:noMultiLvlLbl val="0"/>
      </c:catAx>
      <c:valAx>
        <c:axId val="3234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6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894FB8-19E3-4386-B708-5B845C8B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BFC604-A524-499B-9448-616B6A394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6169.015973611109" createdVersion="8" refreshedVersion="8" minRefreshableVersion="3" recordCount="6" xr:uid="{20A993EE-791B-432B-95B2-B09AFE4DC19B}">
  <cacheSource type="worksheet">
    <worksheetSource ref="A1:A7" sheet="Sheet1"/>
  </cacheSource>
  <cacheFields count="1"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6169.016300694442" createdVersion="8" refreshedVersion="8" minRefreshableVersion="3" recordCount="6" xr:uid="{5BBB768D-5A24-436A-BAB5-D9C9527FF381}">
  <cacheSource type="worksheet">
    <worksheetSource ref="A1:F7" sheet="Sheet1"/>
  </cacheSource>
  <cacheFields count="6">
    <cacheField name="Month" numFmtId="0">
      <sharedItems count="6">
        <s v="January"/>
        <s v="February"/>
        <s v="March"/>
        <s v="April"/>
        <s v="May"/>
        <s v="June"/>
      </sharedItems>
    </cacheField>
    <cacheField name="Starting Customers" numFmtId="0">
      <sharedItems containsSemiMixedTypes="0" containsString="0" containsNumber="1" containsInteger="1" minValue="1000" maxValue="1270"/>
    </cacheField>
    <cacheField name="New Customers Acquired" numFmtId="0">
      <sharedItems containsSemiMixedTypes="0" containsString="0" containsNumber="1" containsInteger="1" minValue="130" maxValue="220"/>
    </cacheField>
    <cacheField name="Ending Customers" numFmtId="0">
      <sharedItems containsSemiMixedTypes="0" containsString="0" containsNumber="1" containsInteger="1" minValue="1050" maxValue="1340"/>
    </cacheField>
    <cacheField name="Retention Rate (%)" numFmtId="9">
      <sharedItems containsSemiMixedTypes="0" containsString="0" containsNumber="1" minValue="0.88188976377952755" maxValue="0.90990990990990994"/>
    </cacheField>
    <cacheField name="Churn Rate (%)" numFmtId="9">
      <sharedItems containsSemiMixedTypes="0" containsString="0" containsNumber="1" minValue="9.0090090090090058E-2" maxValue="0.118110236220472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</r>
  <r>
    <s v="February"/>
  </r>
  <r>
    <s v="March"/>
  </r>
  <r>
    <s v="April"/>
  </r>
  <r>
    <s v="May"/>
  </r>
  <r>
    <s v="Ju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00"/>
    <n v="150"/>
    <n v="1050"/>
    <n v="0.9"/>
    <n v="9.9999999999999978E-2"/>
  </r>
  <r>
    <x v="1"/>
    <n v="1050"/>
    <n v="160"/>
    <n v="1110"/>
    <n v="0.90476190476190477"/>
    <n v="9.5238095238095233E-2"/>
  </r>
  <r>
    <x v="2"/>
    <n v="1110"/>
    <n v="130"/>
    <n v="1140"/>
    <n v="0.90990990990990994"/>
    <n v="9.0090090090090058E-2"/>
  </r>
  <r>
    <x v="3"/>
    <n v="1140"/>
    <n v="180"/>
    <n v="1200"/>
    <n v="0.89473684210526316"/>
    <n v="0.10526315789473684"/>
  </r>
  <r>
    <x v="4"/>
    <n v="1200"/>
    <n v="200"/>
    <n v="1270"/>
    <n v="0.89166666666666672"/>
    <n v="0.10833333333333328"/>
  </r>
  <r>
    <x v="5"/>
    <n v="1270"/>
    <n v="220"/>
    <n v="1340"/>
    <n v="0.88188976377952755"/>
    <n v="0.118110236220472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6970D-7743-4E75-8AA7-426C130BF35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3441F-03AC-4E36-8804-ACDBFA12897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9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tention Rate (%)" fld="4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B545-50BC-43FC-B0DE-AA123C4ABBA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5"/>
      <c r="B3" s="6"/>
      <c r="C3" s="7"/>
    </row>
    <row r="4" spans="1:3" x14ac:dyDescent="0.3">
      <c r="A4" s="8"/>
      <c r="B4" s="9"/>
      <c r="C4" s="10"/>
    </row>
    <row r="5" spans="1:3" x14ac:dyDescent="0.3">
      <c r="A5" s="8"/>
      <c r="B5" s="9"/>
      <c r="C5" s="10"/>
    </row>
    <row r="6" spans="1:3" x14ac:dyDescent="0.3">
      <c r="A6" s="8"/>
      <c r="B6" s="9"/>
      <c r="C6" s="10"/>
    </row>
    <row r="7" spans="1:3" x14ac:dyDescent="0.3">
      <c r="A7" s="8"/>
      <c r="B7" s="9"/>
      <c r="C7" s="10"/>
    </row>
    <row r="8" spans="1:3" x14ac:dyDescent="0.3">
      <c r="A8" s="8"/>
      <c r="B8" s="9"/>
      <c r="C8" s="10"/>
    </row>
    <row r="9" spans="1:3" x14ac:dyDescent="0.3">
      <c r="A9" s="8"/>
      <c r="B9" s="9"/>
      <c r="C9" s="10"/>
    </row>
    <row r="10" spans="1:3" x14ac:dyDescent="0.3">
      <c r="A10" s="8"/>
      <c r="B10" s="9"/>
      <c r="C10" s="10"/>
    </row>
    <row r="11" spans="1:3" x14ac:dyDescent="0.3">
      <c r="A11" s="8"/>
      <c r="B11" s="9"/>
      <c r="C11" s="10"/>
    </row>
    <row r="12" spans="1:3" x14ac:dyDescent="0.3">
      <c r="A12" s="8"/>
      <c r="B12" s="9"/>
      <c r="C12" s="10"/>
    </row>
    <row r="13" spans="1:3" x14ac:dyDescent="0.3">
      <c r="A13" s="8"/>
      <c r="B13" s="9"/>
      <c r="C13" s="10"/>
    </row>
    <row r="14" spans="1:3" x14ac:dyDescent="0.3">
      <c r="A14" s="8"/>
      <c r="B14" s="9"/>
      <c r="C14" s="10"/>
    </row>
    <row r="15" spans="1:3" x14ac:dyDescent="0.3">
      <c r="A15" s="8"/>
      <c r="B15" s="9"/>
      <c r="C15" s="10"/>
    </row>
    <row r="16" spans="1:3" x14ac:dyDescent="0.3">
      <c r="A16" s="8"/>
      <c r="B16" s="9"/>
      <c r="C16" s="10"/>
    </row>
    <row r="17" spans="1:3" x14ac:dyDescent="0.3">
      <c r="A17" s="8"/>
      <c r="B17" s="9"/>
      <c r="C17" s="10"/>
    </row>
    <row r="18" spans="1:3" x14ac:dyDescent="0.3">
      <c r="A18" s="8"/>
      <c r="B18" s="9"/>
      <c r="C18" s="10"/>
    </row>
    <row r="19" spans="1:3" x14ac:dyDescent="0.3">
      <c r="A19" s="8"/>
      <c r="B19" s="9"/>
      <c r="C19" s="10"/>
    </row>
    <row r="20" spans="1:3" x14ac:dyDescent="0.3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0389-CA06-4C5D-B966-D10F9705BA8D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14" t="s">
        <v>13</v>
      </c>
      <c r="B3" t="s">
        <v>15</v>
      </c>
    </row>
    <row r="4" spans="1:2" x14ac:dyDescent="0.3">
      <c r="A4" s="15" t="s">
        <v>6</v>
      </c>
      <c r="B4" s="2">
        <v>0.9</v>
      </c>
    </row>
    <row r="5" spans="1:2" x14ac:dyDescent="0.3">
      <c r="A5" s="15" t="s">
        <v>7</v>
      </c>
      <c r="B5" s="2">
        <v>0.90476190476190477</v>
      </c>
    </row>
    <row r="6" spans="1:2" x14ac:dyDescent="0.3">
      <c r="A6" s="15" t="s">
        <v>8</v>
      </c>
      <c r="B6" s="2">
        <v>0.90990990990990994</v>
      </c>
    </row>
    <row r="7" spans="1:2" x14ac:dyDescent="0.3">
      <c r="A7" s="15" t="s">
        <v>9</v>
      </c>
      <c r="B7" s="2">
        <v>0.89473684210526316</v>
      </c>
    </row>
    <row r="8" spans="1:2" x14ac:dyDescent="0.3">
      <c r="A8" s="15" t="s">
        <v>10</v>
      </c>
      <c r="B8" s="2">
        <v>0.89166666666666672</v>
      </c>
    </row>
    <row r="9" spans="1:2" x14ac:dyDescent="0.3">
      <c r="A9" s="15" t="s">
        <v>11</v>
      </c>
      <c r="B9" s="2">
        <v>0.88188976377952755</v>
      </c>
    </row>
    <row r="10" spans="1:2" x14ac:dyDescent="0.3">
      <c r="A10" s="15" t="s">
        <v>14</v>
      </c>
      <c r="B10" s="2">
        <v>5.3829650872232726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A822-9C3B-4B70-9E44-CCF7207D0BFC}">
  <dimension ref="A1:F7"/>
  <sheetViews>
    <sheetView workbookViewId="0">
      <selection activeCell="F1" activeCellId="1" sqref="A1:A7 F1:F7"/>
    </sheetView>
  </sheetViews>
  <sheetFormatPr defaultRowHeight="14.4" x14ac:dyDescent="0.3"/>
  <cols>
    <col min="2" max="2" width="15.33203125" customWidth="1"/>
    <col min="3" max="3" width="15.88671875" customWidth="1"/>
    <col min="4" max="4" width="17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1000</v>
      </c>
      <c r="C2">
        <v>150</v>
      </c>
      <c r="D2">
        <v>1050</v>
      </c>
      <c r="E2" s="1">
        <f>((D2-C2)/B2)</f>
        <v>0.9</v>
      </c>
      <c r="F2" s="2">
        <f>1-E2</f>
        <v>9.9999999999999978E-2</v>
      </c>
    </row>
    <row r="3" spans="1:6" x14ac:dyDescent="0.3">
      <c r="A3" t="s">
        <v>7</v>
      </c>
      <c r="B3">
        <v>1050</v>
      </c>
      <c r="C3">
        <v>160</v>
      </c>
      <c r="D3">
        <v>1110</v>
      </c>
      <c r="E3" s="1">
        <f t="shared" ref="E3:E7" si="0">((D3-C3)/B3)</f>
        <v>0.90476190476190477</v>
      </c>
      <c r="F3" s="2">
        <f t="shared" ref="F3:F7" si="1">1-E3</f>
        <v>9.5238095238095233E-2</v>
      </c>
    </row>
    <row r="4" spans="1:6" x14ac:dyDescent="0.3">
      <c r="A4" t="s">
        <v>8</v>
      </c>
      <c r="B4">
        <v>1110</v>
      </c>
      <c r="C4">
        <v>130</v>
      </c>
      <c r="D4">
        <v>1140</v>
      </c>
      <c r="E4" s="1">
        <f t="shared" si="0"/>
        <v>0.90990990990990994</v>
      </c>
      <c r="F4" s="2">
        <f t="shared" si="1"/>
        <v>9.0090090090090058E-2</v>
      </c>
    </row>
    <row r="5" spans="1:6" x14ac:dyDescent="0.3">
      <c r="A5" t="s">
        <v>9</v>
      </c>
      <c r="B5">
        <v>1140</v>
      </c>
      <c r="C5">
        <v>180</v>
      </c>
      <c r="D5">
        <v>1200</v>
      </c>
      <c r="E5" s="1">
        <f t="shared" si="0"/>
        <v>0.89473684210526316</v>
      </c>
      <c r="F5" s="2">
        <f t="shared" si="1"/>
        <v>0.10526315789473684</v>
      </c>
    </row>
    <row r="6" spans="1:6" x14ac:dyDescent="0.3">
      <c r="A6" t="s">
        <v>10</v>
      </c>
      <c r="B6">
        <v>1200</v>
      </c>
      <c r="C6">
        <v>200</v>
      </c>
      <c r="D6">
        <v>1270</v>
      </c>
      <c r="E6" s="1">
        <f t="shared" si="0"/>
        <v>0.89166666666666672</v>
      </c>
      <c r="F6" s="2">
        <f t="shared" si="1"/>
        <v>0.10833333333333328</v>
      </c>
    </row>
    <row r="7" spans="1:6" x14ac:dyDescent="0.3">
      <c r="A7" t="s">
        <v>11</v>
      </c>
      <c r="B7">
        <v>1270</v>
      </c>
      <c r="C7">
        <v>220</v>
      </c>
      <c r="D7">
        <v>1340</v>
      </c>
      <c r="E7" s="1">
        <f t="shared" si="0"/>
        <v>0.88188976377952755</v>
      </c>
      <c r="F7" s="2">
        <f t="shared" si="1"/>
        <v>0.11811023622047245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23BD-3402-4608-BA1D-FD7310420EC9}">
  <dimension ref="A1:B1"/>
  <sheetViews>
    <sheetView tabSelected="1" zoomScale="58" workbookViewId="0">
      <selection activeCell="J2" sqref="J2"/>
    </sheetView>
  </sheetViews>
  <sheetFormatPr defaultRowHeight="14.4" x14ac:dyDescent="0.3"/>
  <sheetData>
    <row r="1" spans="1:2" ht="25.8" x14ac:dyDescent="0.5">
      <c r="A1" s="3" t="s">
        <v>12</v>
      </c>
      <c r="B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nandigama</dc:creator>
  <cp:lastModifiedBy>pranathi nandigama</cp:lastModifiedBy>
  <dcterms:created xsi:type="dcterms:W3CDTF">2026-05-26T18:31:44Z</dcterms:created>
  <dcterms:modified xsi:type="dcterms:W3CDTF">2026-05-26T19:01:40Z</dcterms:modified>
</cp:coreProperties>
</file>